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p File" sheetId="1" state="visible" r:id="rId3"/>
    <sheet name="Sequential File" sheetId="2" state="visible" r:id="rId4"/>
    <sheet name="Sta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Edit this cell to change the assumed records-per-block. Every formula on this sheet, and the Block # columns on the Heap File / Sequential File sheets, recalculates from it.
Source: same Block Size concept as the FILEFORGE simulator's BLOCK CAPACITY slider.</t>
        </r>
      </text>
    </comment>
  </commentList>
</comments>
</file>

<file path=xl/sharedStrings.xml><?xml version="1.0" encoding="utf-8"?>
<sst xmlns="http://schemas.openxmlformats.org/spreadsheetml/2006/main" count="75" uniqueCount="38">
  <si>
    <t xml:space="preserve">FILEFORGE — Heap File (insertion order)</t>
  </si>
  <si>
    <t xml:space="preserve">Records appended in insertion order — no sorting. Block # uses the Block Size set on the Stats sheet.</t>
  </si>
  <si>
    <t xml:space="preserve">Position</t>
  </si>
  <si>
    <t xml:space="preserve">ID</t>
  </si>
  <si>
    <t xml:space="preserve">Name</t>
  </si>
  <si>
    <t xml:space="preserve">Dept</t>
  </si>
  <si>
    <t xml:space="preserve">Marks</t>
  </si>
  <si>
    <t xml:space="preserve">Block #</t>
  </si>
  <si>
    <t xml:space="preserve">Rahul</t>
  </si>
  <si>
    <t xml:space="preserve">CSE</t>
  </si>
  <si>
    <t xml:space="preserve">Aman</t>
  </si>
  <si>
    <t xml:space="preserve">ECE</t>
  </si>
  <si>
    <t xml:space="preserve">Priya</t>
  </si>
  <si>
    <t xml:space="preserve">IT</t>
  </si>
  <si>
    <t xml:space="preserve">Ananya</t>
  </si>
  <si>
    <t xml:space="preserve">AIML</t>
  </si>
  <si>
    <t xml:space="preserve">Neha</t>
  </si>
  <si>
    <t xml:space="preserve">Amit</t>
  </si>
  <si>
    <t xml:space="preserve">Ritu</t>
  </si>
  <si>
    <t xml:space="preserve">Aarav</t>
  </si>
  <si>
    <t xml:space="preserve">Suresh</t>
  </si>
  <si>
    <t xml:space="preserve">ME</t>
  </si>
  <si>
    <t xml:space="preserve">Kavita</t>
  </si>
  <si>
    <t xml:space="preserve">Deepak</t>
  </si>
  <si>
    <t xml:space="preserve">Vikas</t>
  </si>
  <si>
    <t xml:space="preserve">FILEFORGE — Sequential File (sorted by primary key)</t>
  </si>
  <si>
    <t xml:space="preserve">Same 12 records as Heap File, kept sorted by ID. Block # uses the same Block Size on the Stats sheet.</t>
  </si>
  <si>
    <t xml:space="preserve">FILEFORGE — Storage &amp; Search Cost Summary</t>
  </si>
  <si>
    <t xml:space="preserve">Block Size (B) — editable</t>
  </si>
  <si>
    <t xml:space="preserve">Total Records (N)</t>
  </si>
  <si>
    <t xml:space="preserve">Heap Blocks (b = ⌈N/B⌉)</t>
  </si>
  <si>
    <t xml:space="preserve">Sequential Blocks (b = ⌈N/B⌉)</t>
  </si>
  <si>
    <t xml:space="preserve">Packing Factor</t>
  </si>
  <si>
    <t xml:space="preserve">Heap — Avg. Comparisons (N/2)</t>
  </si>
  <si>
    <t xml:space="preserve">Sequential — Comparisons (⌊log₂N⌋+1)</t>
  </si>
  <si>
    <t xml:space="preserve">Heap — Avg. Block Accesses (b/2)</t>
  </si>
  <si>
    <t xml:space="preserve">Sequential — Block Accesses (⌈log₂b⌉)</t>
  </si>
  <si>
    <t xml:space="preserve">Formulas follow the standard DBMS textbook costs used throughout the FILEFORGE app (see AI_PROMPT_LOG.md — Core Knowledge Base). N/2 and ⌈N/B⌉ etc. are averages, not guarantees for any single run.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</si>
</sst>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43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272FF"/>
        <bgColor rgb="FF666699"/>
      </patternFill>
    </fill>
    <fill>
      <patternFill patternType="solid">
        <fgColor rgb="FFFFF3B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8272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1F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n">
        <v>105</v>
      </c>
      <c r="C5" s="4" t="s">
        <v>8</v>
      </c>
      <c r="D5" s="4" t="s">
        <v>9</v>
      </c>
      <c r="E5" s="4" t="n">
        <v>85</v>
      </c>
      <c r="F5" s="4" t="n">
        <f aca="false">ROUNDUP(A5/Stats!$B$3,0)</f>
        <v>1</v>
      </c>
    </row>
    <row r="6" customFormat="false" ht="15" hidden="false" customHeight="false" outlineLevel="0" collapsed="false">
      <c r="A6" s="4" t="n">
        <v>2</v>
      </c>
      <c r="B6" s="4" t="n">
        <v>108</v>
      </c>
      <c r="C6" s="4" t="s">
        <v>10</v>
      </c>
      <c r="D6" s="4" t="s">
        <v>11</v>
      </c>
      <c r="E6" s="4" t="n">
        <v>72</v>
      </c>
      <c r="F6" s="4" t="n">
        <f aca="false">ROUNDUP(A6/Stats!$B$3,0)</f>
        <v>1</v>
      </c>
    </row>
    <row r="7" customFormat="false" ht="15" hidden="false" customHeight="false" outlineLevel="0" collapsed="false">
      <c r="A7" s="4" t="n">
        <v>3</v>
      </c>
      <c r="B7" s="4" t="n">
        <v>103</v>
      </c>
      <c r="C7" s="4" t="s">
        <v>12</v>
      </c>
      <c r="D7" s="4" t="s">
        <v>13</v>
      </c>
      <c r="E7" s="4" t="n">
        <v>91</v>
      </c>
      <c r="F7" s="4" t="n">
        <f aca="false">ROUNDUP(A7/Stats!$B$3,0)</f>
        <v>1</v>
      </c>
    </row>
    <row r="8" customFormat="false" ht="15" hidden="false" customHeight="false" outlineLevel="0" collapsed="false">
      <c r="A8" s="4" t="n">
        <v>4</v>
      </c>
      <c r="B8" s="4" t="n">
        <v>115</v>
      </c>
      <c r="C8" s="4" t="s">
        <v>14</v>
      </c>
      <c r="D8" s="4" t="s">
        <v>15</v>
      </c>
      <c r="E8" s="4" t="n">
        <v>89</v>
      </c>
      <c r="F8" s="4" t="n">
        <f aca="false">ROUNDUP(A8/Stats!$B$3,0)</f>
        <v>2</v>
      </c>
    </row>
    <row r="9" customFormat="false" ht="15" hidden="false" customHeight="false" outlineLevel="0" collapsed="false">
      <c r="A9" s="4" t="n">
        <v>5</v>
      </c>
      <c r="B9" s="4" t="n">
        <v>120</v>
      </c>
      <c r="C9" s="4" t="s">
        <v>16</v>
      </c>
      <c r="D9" s="4" t="s">
        <v>15</v>
      </c>
      <c r="E9" s="4" t="n">
        <v>88</v>
      </c>
      <c r="F9" s="4" t="n">
        <f aca="false">ROUNDUP(A9/Stats!$B$3,0)</f>
        <v>2</v>
      </c>
    </row>
    <row r="10" customFormat="false" ht="15" hidden="false" customHeight="false" outlineLevel="0" collapsed="false">
      <c r="A10" s="4" t="n">
        <v>6</v>
      </c>
      <c r="B10" s="4" t="n">
        <v>106</v>
      </c>
      <c r="C10" s="4" t="s">
        <v>17</v>
      </c>
      <c r="D10" s="4" t="s">
        <v>9</v>
      </c>
      <c r="E10" s="4" t="n">
        <v>80</v>
      </c>
      <c r="F10" s="4" t="n">
        <f aca="false">ROUNDUP(A10/Stats!$B$3,0)</f>
        <v>2</v>
      </c>
    </row>
    <row r="11" customFormat="false" ht="15" hidden="false" customHeight="false" outlineLevel="0" collapsed="false">
      <c r="A11" s="4" t="n">
        <v>7</v>
      </c>
      <c r="B11" s="4" t="n">
        <v>114</v>
      </c>
      <c r="C11" s="4" t="s">
        <v>18</v>
      </c>
      <c r="D11" s="4" t="s">
        <v>13</v>
      </c>
      <c r="E11" s="4" t="n">
        <v>86</v>
      </c>
      <c r="F11" s="4" t="n">
        <f aca="false">ROUNDUP(A11/Stats!$B$3,0)</f>
        <v>3</v>
      </c>
    </row>
    <row r="12" customFormat="false" ht="15" hidden="false" customHeight="false" outlineLevel="0" collapsed="false">
      <c r="A12" s="4" t="n">
        <v>8</v>
      </c>
      <c r="B12" s="4" t="n">
        <v>101</v>
      </c>
      <c r="C12" s="4" t="s">
        <v>19</v>
      </c>
      <c r="D12" s="4" t="s">
        <v>9</v>
      </c>
      <c r="E12" s="4" t="n">
        <v>95</v>
      </c>
      <c r="F12" s="4" t="n">
        <f aca="false">ROUNDUP(A12/Stats!$B$3,0)</f>
        <v>3</v>
      </c>
    </row>
    <row r="13" customFormat="false" ht="15" hidden="false" customHeight="false" outlineLevel="0" collapsed="false">
      <c r="A13" s="4" t="n">
        <v>9</v>
      </c>
      <c r="B13" s="4" t="n">
        <v>128</v>
      </c>
      <c r="C13" s="4" t="s">
        <v>20</v>
      </c>
      <c r="D13" s="4" t="s">
        <v>21</v>
      </c>
      <c r="E13" s="4" t="n">
        <v>70</v>
      </c>
      <c r="F13" s="4" t="n">
        <f aca="false">ROUNDUP(A13/Stats!$B$3,0)</f>
        <v>3</v>
      </c>
    </row>
    <row r="14" customFormat="false" ht="15" hidden="false" customHeight="false" outlineLevel="0" collapsed="false">
      <c r="A14" s="4" t="n">
        <v>10</v>
      </c>
      <c r="B14" s="4" t="n">
        <v>109</v>
      </c>
      <c r="C14" s="4" t="s">
        <v>22</v>
      </c>
      <c r="D14" s="4" t="s">
        <v>11</v>
      </c>
      <c r="E14" s="4" t="n">
        <v>92</v>
      </c>
      <c r="F14" s="4" t="n">
        <f aca="false">ROUNDUP(A14/Stats!$B$3,0)</f>
        <v>4</v>
      </c>
    </row>
    <row r="15" customFormat="false" ht="15" hidden="false" customHeight="false" outlineLevel="0" collapsed="false">
      <c r="A15" s="4" t="n">
        <v>11</v>
      </c>
      <c r="B15" s="4" t="n">
        <v>122</v>
      </c>
      <c r="C15" s="4" t="s">
        <v>23</v>
      </c>
      <c r="D15" s="4" t="s">
        <v>21</v>
      </c>
      <c r="E15" s="4" t="n">
        <v>68</v>
      </c>
      <c r="F15" s="4" t="n">
        <f aca="false">ROUNDUP(A15/Stats!$B$3,0)</f>
        <v>4</v>
      </c>
    </row>
    <row r="16" customFormat="false" ht="15" hidden="false" customHeight="false" outlineLevel="0" collapsed="false">
      <c r="A16" s="4" t="n">
        <v>12</v>
      </c>
      <c r="B16" s="4" t="n">
        <v>118</v>
      </c>
      <c r="C16" s="4" t="s">
        <v>24</v>
      </c>
      <c r="D16" s="4" t="s">
        <v>13</v>
      </c>
      <c r="E16" s="4" t="n">
        <v>88</v>
      </c>
      <c r="F16" s="4" t="n">
        <f aca="false">ROUNDUP(A16/Stats!$B$3,0)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n">
        <v>101</v>
      </c>
      <c r="C5" s="4" t="s">
        <v>19</v>
      </c>
      <c r="D5" s="4" t="s">
        <v>9</v>
      </c>
      <c r="E5" s="4" t="n">
        <v>95</v>
      </c>
      <c r="F5" s="4" t="n">
        <f aca="false">ROUNDUP(A5/Stats!$B$3,0)</f>
        <v>1</v>
      </c>
    </row>
    <row r="6" customFormat="false" ht="15" hidden="false" customHeight="false" outlineLevel="0" collapsed="false">
      <c r="A6" s="4" t="n">
        <v>2</v>
      </c>
      <c r="B6" s="4" t="n">
        <v>103</v>
      </c>
      <c r="C6" s="4" t="s">
        <v>12</v>
      </c>
      <c r="D6" s="4" t="s">
        <v>13</v>
      </c>
      <c r="E6" s="4" t="n">
        <v>91</v>
      </c>
      <c r="F6" s="4" t="n">
        <f aca="false">ROUNDUP(A6/Stats!$B$3,0)</f>
        <v>1</v>
      </c>
    </row>
    <row r="7" customFormat="false" ht="15" hidden="false" customHeight="false" outlineLevel="0" collapsed="false">
      <c r="A7" s="4" t="n">
        <v>3</v>
      </c>
      <c r="B7" s="4" t="n">
        <v>105</v>
      </c>
      <c r="C7" s="4" t="s">
        <v>8</v>
      </c>
      <c r="D7" s="4" t="s">
        <v>9</v>
      </c>
      <c r="E7" s="4" t="n">
        <v>85</v>
      </c>
      <c r="F7" s="4" t="n">
        <f aca="false">ROUNDUP(A7/Stats!$B$3,0)</f>
        <v>1</v>
      </c>
    </row>
    <row r="8" customFormat="false" ht="15" hidden="false" customHeight="false" outlineLevel="0" collapsed="false">
      <c r="A8" s="4" t="n">
        <v>4</v>
      </c>
      <c r="B8" s="4" t="n">
        <v>106</v>
      </c>
      <c r="C8" s="4" t="s">
        <v>17</v>
      </c>
      <c r="D8" s="4" t="s">
        <v>9</v>
      </c>
      <c r="E8" s="4" t="n">
        <v>80</v>
      </c>
      <c r="F8" s="4" t="n">
        <f aca="false">ROUNDUP(A8/Stats!$B$3,0)</f>
        <v>2</v>
      </c>
    </row>
    <row r="9" customFormat="false" ht="15" hidden="false" customHeight="false" outlineLevel="0" collapsed="false">
      <c r="A9" s="4" t="n">
        <v>5</v>
      </c>
      <c r="B9" s="4" t="n">
        <v>108</v>
      </c>
      <c r="C9" s="4" t="s">
        <v>10</v>
      </c>
      <c r="D9" s="4" t="s">
        <v>11</v>
      </c>
      <c r="E9" s="4" t="n">
        <v>72</v>
      </c>
      <c r="F9" s="4" t="n">
        <f aca="false">ROUNDUP(A9/Stats!$B$3,0)</f>
        <v>2</v>
      </c>
    </row>
    <row r="10" customFormat="false" ht="15" hidden="false" customHeight="false" outlineLevel="0" collapsed="false">
      <c r="A10" s="4" t="n">
        <v>6</v>
      </c>
      <c r="B10" s="4" t="n">
        <v>109</v>
      </c>
      <c r="C10" s="4" t="s">
        <v>22</v>
      </c>
      <c r="D10" s="4" t="s">
        <v>11</v>
      </c>
      <c r="E10" s="4" t="n">
        <v>92</v>
      </c>
      <c r="F10" s="4" t="n">
        <f aca="false">ROUNDUP(A10/Stats!$B$3,0)</f>
        <v>2</v>
      </c>
    </row>
    <row r="11" customFormat="false" ht="15" hidden="false" customHeight="false" outlineLevel="0" collapsed="false">
      <c r="A11" s="4" t="n">
        <v>7</v>
      </c>
      <c r="B11" s="4" t="n">
        <v>114</v>
      </c>
      <c r="C11" s="4" t="s">
        <v>18</v>
      </c>
      <c r="D11" s="4" t="s">
        <v>13</v>
      </c>
      <c r="E11" s="4" t="n">
        <v>86</v>
      </c>
      <c r="F11" s="4" t="n">
        <f aca="false">ROUNDUP(A11/Stats!$B$3,0)</f>
        <v>3</v>
      </c>
    </row>
    <row r="12" customFormat="false" ht="15" hidden="false" customHeight="false" outlineLevel="0" collapsed="false">
      <c r="A12" s="4" t="n">
        <v>8</v>
      </c>
      <c r="B12" s="4" t="n">
        <v>115</v>
      </c>
      <c r="C12" s="4" t="s">
        <v>14</v>
      </c>
      <c r="D12" s="4" t="s">
        <v>15</v>
      </c>
      <c r="E12" s="4" t="n">
        <v>89</v>
      </c>
      <c r="F12" s="4" t="n">
        <f aca="false">ROUNDUP(A12/Stats!$B$3,0)</f>
        <v>3</v>
      </c>
    </row>
    <row r="13" customFormat="false" ht="15" hidden="false" customHeight="false" outlineLevel="0" collapsed="false">
      <c r="A13" s="4" t="n">
        <v>9</v>
      </c>
      <c r="B13" s="4" t="n">
        <v>118</v>
      </c>
      <c r="C13" s="4" t="s">
        <v>24</v>
      </c>
      <c r="D13" s="4" t="s">
        <v>13</v>
      </c>
      <c r="E13" s="4" t="n">
        <v>88</v>
      </c>
      <c r="F13" s="4" t="n">
        <f aca="false">ROUNDUP(A13/Stats!$B$3,0)</f>
        <v>3</v>
      </c>
    </row>
    <row r="14" customFormat="false" ht="15" hidden="false" customHeight="false" outlineLevel="0" collapsed="false">
      <c r="A14" s="4" t="n">
        <v>10</v>
      </c>
      <c r="B14" s="4" t="n">
        <v>120</v>
      </c>
      <c r="C14" s="4" t="s">
        <v>16</v>
      </c>
      <c r="D14" s="4" t="s">
        <v>15</v>
      </c>
      <c r="E14" s="4" t="n">
        <v>88</v>
      </c>
      <c r="F14" s="4" t="n">
        <f aca="false">ROUNDUP(A14/Stats!$B$3,0)</f>
        <v>4</v>
      </c>
    </row>
    <row r="15" customFormat="false" ht="15" hidden="false" customHeight="false" outlineLevel="0" collapsed="false">
      <c r="A15" s="4" t="n">
        <v>11</v>
      </c>
      <c r="B15" s="4" t="n">
        <v>122</v>
      </c>
      <c r="C15" s="4" t="s">
        <v>23</v>
      </c>
      <c r="D15" s="4" t="s">
        <v>21</v>
      </c>
      <c r="E15" s="4" t="n">
        <v>68</v>
      </c>
      <c r="F15" s="4" t="n">
        <f aca="false">ROUNDUP(A15/Stats!$B$3,0)</f>
        <v>4</v>
      </c>
    </row>
    <row r="16" customFormat="false" ht="15" hidden="false" customHeight="false" outlineLevel="0" collapsed="false">
      <c r="A16" s="4" t="n">
        <v>12</v>
      </c>
      <c r="B16" s="4" t="n">
        <v>128</v>
      </c>
      <c r="C16" s="4" t="s">
        <v>20</v>
      </c>
      <c r="D16" s="4" t="s">
        <v>21</v>
      </c>
      <c r="E16" s="4" t="n">
        <v>70</v>
      </c>
      <c r="F16" s="4" t="n">
        <f aca="false">ROUNDUP(A16/Stats!$B$3,0)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6" min="3" style="0" width="10"/>
  </cols>
  <sheetData>
    <row r="1" customFormat="false" ht="17.35" hidden="false" customHeight="false" outlineLevel="0" collapsed="false">
      <c r="A1" s="1" t="s">
        <v>27</v>
      </c>
    </row>
    <row r="3" customFormat="false" ht="15" hidden="false" customHeight="false" outlineLevel="0" collapsed="false">
      <c r="A3" s="5" t="s">
        <v>28</v>
      </c>
      <c r="B3" s="6" t="n">
        <v>3</v>
      </c>
    </row>
    <row r="4" customFormat="false" ht="15" hidden="false" customHeight="false" outlineLevel="0" collapsed="false">
      <c r="A4" s="5" t="s">
        <v>29</v>
      </c>
      <c r="B4" s="7" t="n">
        <f aca="false">COUNT('Heap File'!B5:B16)</f>
        <v>12</v>
      </c>
    </row>
    <row r="5" customFormat="false" ht="15" hidden="false" customHeight="false" outlineLevel="0" collapsed="false">
      <c r="A5" s="5" t="s">
        <v>30</v>
      </c>
      <c r="B5" s="7" t="n">
        <f aca="false">ROUNDUP(B4/B3,0)</f>
        <v>4</v>
      </c>
    </row>
    <row r="6" customFormat="false" ht="15" hidden="false" customHeight="false" outlineLevel="0" collapsed="false">
      <c r="A6" s="5" t="s">
        <v>31</v>
      </c>
      <c r="B6" s="7" t="n">
        <f aca="false">ROUNDUP(B4/B3,0)</f>
        <v>4</v>
      </c>
    </row>
    <row r="7" customFormat="false" ht="15" hidden="false" customHeight="false" outlineLevel="0" collapsed="false">
      <c r="A7" s="5" t="s">
        <v>32</v>
      </c>
      <c r="B7" s="8" t="n">
        <f aca="false">B4/(B5*B3)</f>
        <v>1</v>
      </c>
    </row>
    <row r="8" customFormat="false" ht="15" hidden="false" customHeight="false" outlineLevel="0" collapsed="false">
      <c r="A8" s="5" t="s">
        <v>33</v>
      </c>
      <c r="B8" s="7" t="n">
        <f aca="false">B4/2</f>
        <v>6</v>
      </c>
    </row>
    <row r="9" customFormat="false" ht="15" hidden="false" customHeight="false" outlineLevel="0" collapsed="false">
      <c r="A9" s="5" t="s">
        <v>34</v>
      </c>
      <c r="B9" s="7" t="n">
        <f aca="false">INT(LOG(B4,2))+1</f>
        <v>4</v>
      </c>
    </row>
    <row r="10" customFormat="false" ht="15" hidden="false" customHeight="false" outlineLevel="0" collapsed="false">
      <c r="A10" s="5" t="s">
        <v>35</v>
      </c>
      <c r="B10" s="7" t="n">
        <f aca="false">ROUNDUP(B5/2,0)</f>
        <v>2</v>
      </c>
    </row>
    <row r="11" customFormat="false" ht="15" hidden="false" customHeight="false" outlineLevel="0" collapsed="false">
      <c r="A11" s="5" t="s">
        <v>36</v>
      </c>
      <c r="B11" s="7" t="n">
        <f aca="false">ROUNDUP(LOG(B6,2),0)</f>
        <v>2</v>
      </c>
    </row>
    <row r="13" customFormat="false" ht="32.8" hidden="false" customHeight="true" outlineLevel="0" collapsed="false">
      <c r="A13" s="9" t="s">
        <v>37</v>
      </c>
      <c r="B13" s="9"/>
      <c r="C13" s="9"/>
      <c r="D13" s="9"/>
      <c r="E13" s="9"/>
      <c r="F13" s="9"/>
    </row>
  </sheetData>
  <mergeCells count="1"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2026-09-21T04:52:56Z</dcterms:created>
  <dc:creator>openpyxl</dc:creator>
  <dc:description/>
  <dc:language>en-US</dc:language>
  <cp:lastModifiedBy/>
  <dcterms:modified xsi:type="dcterms:W3CDTF">2026-09-21T04:52:56Z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